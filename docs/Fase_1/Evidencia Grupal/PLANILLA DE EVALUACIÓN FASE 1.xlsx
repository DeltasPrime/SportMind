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1 SportMind\Evidencia Grupal\"/>
    </mc:Choice>
  </mc:AlternateContent>
  <xr:revisionPtr revIDLastSave="0" documentId="13_ncr:1_{724033E5-AF01-4A25-8629-C0D92FC1B9DE}"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<sst xmlns="http://schemas.openxmlformats.org/spreadsheetml/2006/main" count="167" uniqueCount="100">
  <si>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</si>
  <si>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</si>
  <si>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</si>
  <si>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</si>
  <si>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</si>
  <si>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</si>
  <si>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</si>
  <si>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</si>
  <si>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</si>
  <si>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</si>
  <si>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</si>
  <si>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</si>
  <si>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</si>
  <si>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</si>
  <si>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</si>
  <si>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</si>
  <si>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</si>
  <si>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</si>
  <si>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</si>
  <si>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</si>
  <si>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</si>
  <si>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</si>
  <si>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</si>
  <si>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</si>
  <si>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</si>
  <si>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</si>
  <si>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</si>
  <si>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</si>
  <si>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</si>
  <si>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</si>
  <si>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</si>
  <si>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</si>
  <si>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</si>
  <si>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</si>
  <si>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</si>
  <si>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</si>
  <si>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</si>
  <si>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</si>
  <si>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</si>
  <si>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</si>
  <si>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</si>
  <si>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</si>
  <si>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</si>
  <si>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</si>
  <si>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</si>
  <si>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</si>
  <si>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</si>
  <si>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</si>
  <si>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</si>
  <si>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</si>
  <si>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</si>
  <si>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</si>
  <si>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</si>
  <si>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</si>
  <si>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</si>
  <si>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</si>
  <si>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</si>
  <si>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</si>
  <si>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</si>
  <si>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</si>
  <si>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</si>
  <si>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</si>
  <si>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</si>
  <si>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</si>
  <si>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</si>
  <si>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</si>
  <si>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</si>
  <si>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</si>
  <si>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</si>
  <si>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</si>
  <si>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</si>
  <si>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</si>
  <si>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</si>
  <si>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</si>
  <si>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</si>
  <si>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</si>
  <si>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</si>
  <si>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</si>
  <si>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</si>
  <si>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</si>
  <si>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</si>
  <si>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</si>
  <si>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</si>
  <si>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</si>
  <si>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</si>
  <si>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</si>
  <si>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</si>
  <si>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</si>
  <si>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</si>
  <si>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</si>
  <si>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</si>
  <si>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</si>
  <si>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</si>
  <si>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</si>
  <si>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</si>
  <si>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</si>
  <si>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Nicolas Vasquez</t>
  </si>
  <si>
    <t>Cristell Cadiu</t>
  </si>
  <si>
    <t>Tomas Delgado</t>
  </si>
  <si>
    <t>PPT bueno, Mejorar vocabulario y dicción,Elevar voz en la presentación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</si>
</sst>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D45" sqref="D4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6.1</v>
      </c>
      <c r="D4" s="6">
        <f>$C$35</f>
        <v>7</v>
      </c>
      <c r="E4" s="43">
        <f>C4*C$2+D4*D$2</f>
        <v>6.3249999999999993</v>
      </c>
      <c r="G4" s="1"/>
    </row>
    <row r="5" spans="1:11" x14ac:dyDescent="0.25">
      <c r="A5" s="5">
        <v>2</v>
      </c>
      <c r="B5" s="32" t="s">
        <v>97</v>
      </c>
      <c r="C5" s="6">
        <f>EVALUACION1!$C$24</f>
        <v>6.1</v>
      </c>
      <c r="D5" s="6">
        <f>C47</f>
        <v>6</v>
      </c>
      <c r="E5" s="43">
        <f t="shared" ref="E5:E6" si="0">C5*C$2+D5*D$2</f>
        <v>6.0749999999999993</v>
      </c>
      <c r="G5" s="1"/>
    </row>
    <row r="6" spans="1:11" x14ac:dyDescent="0.25">
      <c r="A6" s="5">
        <v>3</v>
      </c>
      <c r="B6" s="32" t="s">
        <v>98</v>
      </c>
      <c r="C6" s="6">
        <f>EVALUACION1!$C$24</f>
        <v>6.1</v>
      </c>
      <c r="D6" s="6">
        <f>C58</f>
        <v>5</v>
      </c>
      <c r="E6" s="43">
        <f t="shared" si="0"/>
        <v>5.8249999999999993</v>
      </c>
      <c r="G6" s="1"/>
    </row>
    <row r="8" spans="1:11" ht="15" customHeight="1" x14ac:dyDescent="0.25">
      <c r="B8" s="49" t="s">
        <v>99</v>
      </c>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
        <v>95</v>
      </c>
      <c r="G14" s="16">
        <f t="shared" ref="G14" si="7">IF(F14="X",60*0.05,"")</f>
        <v>3</v>
      </c>
      <c r="H14" s="16"/>
      <c r="I14" s="16" t="str">
        <f t="shared" ref="I14" si="8">IF(H14="X",30*0.05,"")</f>
        <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1"/>
      <c r="B24" s="36" t="s">
        <v>12</v>
      </c>
      <c r="C24" s="20">
        <f>VLOOKUP(C23,ESCALA_IEP!A2:B142,2,FALSE)</f>
        <v>6.1</v>
      </c>
    </row>
    <row r="25" spans="1:11" ht="15.75" customHeight="1" x14ac:dyDescent="0.25"/>
    <row r="26" spans="1:11" ht="15.75" customHeight="1" x14ac:dyDescent="0.25"/>
    <row r="27" spans="1:11" ht="15.75" customHeight="1" x14ac:dyDescent="0.25">
      <c r="A27" s="62" t="s">
        <v>13</v>
      </c>
      <c r="B27" s="50" t="s">
        <v>14</v>
      </c>
      <c r="C27" s="52" t="str">
        <f>$B$4</f>
        <v>Nicolas Vasquez</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t="s">
        <v>95</v>
      </c>
      <c r="E31" s="16">
        <f>IF(D31="X",100*0.1,"")</f>
        <v>10</v>
      </c>
      <c r="F31" s="16"/>
      <c r="G31" s="16" t="str">
        <f>IF(F31="X",60*0.1,"")</f>
        <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1"/>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Cristell Cadiu</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t="s">
        <v>95</v>
      </c>
      <c r="E43" s="16">
        <f>IF(D43="X",100*0.1,"")</f>
        <v>10</v>
      </c>
      <c r="F43" s="16"/>
      <c r="G43" s="16" t="str">
        <f>IF(F43="X",60*0.1,"")</f>
        <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c r="E45" s="16" t="str">
        <f>IF(D45="X",100*0.1,"")</f>
        <v/>
      </c>
      <c r="F45" s="16" t="s">
        <v>95</v>
      </c>
      <c r="G45" s="16">
        <f>IF(F45="X",60*0.1,"")</f>
        <v>6</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Tomas Delgado</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t="s">
        <v>95</v>
      </c>
      <c r="E54" s="16">
        <f>IF(D54="X",100*0.1,"")</f>
        <v>10</v>
      </c>
      <c r="F54" s="16"/>
      <c r="G54" s="16" t="str">
        <f>IF(F54="X",60*0.1,"")</f>
        <v/>
      </c>
      <c r="H54" s="16" t="str">
        <f t="shared" ref="H54:H55" si="39">IF($C54=ML,"X","")</f>
        <v/>
      </c>
      <c r="I54" s="16" t="str">
        <f>IF(H54="X",30*0.1,"")</f>
        <v/>
      </c>
      <c r="J54" s="16" t="str">
        <f t="shared" ref="J54:J55" si="40">IF($C54=NL,"X","")</f>
        <v/>
      </c>
      <c r="K54" s="16" t="str">
        <f t="shared" ref="K54:K55" si="41">IF($J54="X",0,"")</f>
        <v/>
      </c>
    </row>
    <row r="55" spans="1:11" ht="24" x14ac:dyDescent="0.25">
      <c r="A55" s="63"/>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9"/>
        <v/>
      </c>
      <c r="I55" s="16" t="str">
        <f>IF(H55="X",30*0.1,"")</f>
        <v/>
      </c>
      <c r="J55" s="16" t="str">
        <f t="shared" si="40"/>
        <v/>
      </c>
      <c r="K55" s="16" t="str">
        <f t="shared" si="41"/>
        <v/>
      </c>
    </row>
    <row r="56" spans="1:11" ht="15.75" customHeight="1" x14ac:dyDescent="0.25">
      <c r="A56" s="63"/>
      <c r="B56" s="35" t="str">
        <f>RUBRICA!A17</f>
        <v>13. Colaboración y trabajo en equipo *</v>
      </c>
      <c r="C56" s="33" t="s">
        <v>7</v>
      </c>
      <c r="D56" s="16"/>
      <c r="E56" s="16" t="str">
        <f>IF(D56="X",100*0.1,"")</f>
        <v/>
      </c>
      <c r="F56" s="16" t="s">
        <v>95</v>
      </c>
      <c r="G56" s="16">
        <f>IF(F56="X",60*0.1,"")</f>
        <v>6</v>
      </c>
      <c r="H56" s="16" t="str">
        <f>IF($C56=ML,"X","")</f>
        <v/>
      </c>
      <c r="I56" s="16" t="str">
        <f>IF(H56="X",30*0.1,"")</f>
        <v/>
      </c>
      <c r="J56" s="16" t="str">
        <f>IF($C56=NL,"X","")</f>
        <v/>
      </c>
      <c r="K56" s="16" t="str">
        <f>IF($J56="X",0,"")</f>
        <v/>
      </c>
    </row>
    <row r="57" spans="1:11" ht="15.75" customHeight="1" x14ac:dyDescent="0.3">
      <c r="A57" s="63"/>
      <c r="B57" s="21" t="s">
        <v>17</v>
      </c>
      <c r="C57" s="18">
        <f>E57+G57+I57+K57</f>
        <v>22</v>
      </c>
      <c r="D57" s="19">
        <f>COUNTIF(D55:D56,"X")</f>
        <v>0</v>
      </c>
      <c r="E57" s="19">
        <f>SUM(E54:E56)</f>
        <v>10</v>
      </c>
      <c r="F57" s="19">
        <f t="shared" ref="F57" si="42">SUM(F54:F56)</f>
        <v>0</v>
      </c>
      <c r="G57" s="19">
        <f t="shared" ref="G57" si="43">SUM(G54:G56)</f>
        <v>12</v>
      </c>
      <c r="H57" s="19">
        <f t="shared" ref="H57" si="44">SUM(H54:H56)</f>
        <v>0</v>
      </c>
      <c r="I57" s="19">
        <f t="shared" ref="I57" si="45">SUM(I54:I56)</f>
        <v>0</v>
      </c>
      <c r="J57" s="19">
        <f t="shared" ref="J57" si="46">SUM(J54:J56)</f>
        <v>0</v>
      </c>
      <c r="K57" s="19">
        <f t="shared" ref="K57" si="47">SUM(K54:K56)</f>
        <v>0</v>
      </c>
    </row>
    <row r="58" spans="1:11" ht="15.75" customHeight="1" x14ac:dyDescent="0.3">
      <c r="A58" s="51"/>
      <c r="B58" s="17" t="s">
        <v>12</v>
      </c>
      <c r="C58" s="20">
        <f>VLOOKUP(C57,ESCALA_TRAB_EQUIP!A2:B62,2,FALSE)</f>
        <v>5</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2025-09-27T01:32:49Z</dcterms:modified>
  <cp:category/>
  <cp:contentStatus/>
</cp:coreProperties>
</file>